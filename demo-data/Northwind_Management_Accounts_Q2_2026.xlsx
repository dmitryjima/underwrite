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ebt &amp; Liquidity" sheetId="2" state="visible" r:id="rId4"/>
    <sheet name="NPL Reconcili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<sst xmlns="http://schemas.openxmlformats.org/spreadsheetml/2006/main" count="53" uniqueCount="46">
  <si>
    <t xml:space="preserve">Northwind Logistics Group - Management Accounts</t>
  </si>
  <si>
    <t xml:space="preserve">Q2 2026, unaudited. Currency: USD millions. Prepared by Group Finance.</t>
  </si>
  <si>
    <t xml:space="preserve">Reporting period</t>
  </si>
  <si>
    <t xml:space="preserve">LTM to 30 June 2026</t>
  </si>
  <si>
    <t xml:space="preserve">Metric</t>
  </si>
  <si>
    <t xml:space="preserve">Value (USD m)</t>
  </si>
  <si>
    <t xml:space="preserve">Note</t>
  </si>
  <si>
    <t xml:space="preserve">Revenue (LTM)</t>
  </si>
  <si>
    <t xml:space="preserve">Consolidated, management basis</t>
  </si>
  <si>
    <t xml:space="preserve">EBITDA (LTM)</t>
  </si>
  <si>
    <t xml:space="preserve">Before exceptional items</t>
  </si>
  <si>
    <t xml:space="preserve">Cash and equivalents</t>
  </si>
  <si>
    <t xml:space="preserve">Group, period end, excluding cash-pool balances</t>
  </si>
  <si>
    <t xml:space="preserve">EBITDA margin (%)</t>
  </si>
  <si>
    <t xml:space="preserve">Calculated</t>
  </si>
  <si>
    <t xml:space="preserve">Blue = hardcoded input from the ledger; black = formula; green = link to another sheet.</t>
  </si>
  <si>
    <t xml:space="preserve">Debt and liquidity bridge - financing report to management accounts</t>
  </si>
  <si>
    <t xml:space="preserve">USD millions, as at 30 June 2026</t>
  </si>
  <si>
    <t xml:space="preserve">Item</t>
  </si>
  <si>
    <t xml:space="preserve">Type</t>
  </si>
  <si>
    <t xml:space="preserve">Amount (USD m)</t>
  </si>
  <si>
    <t xml:space="preserve">Counts as financial debt?</t>
  </si>
  <si>
    <t xml:space="preserve">Senior term loan</t>
  </si>
  <si>
    <t xml:space="preserve">Bank debt</t>
  </si>
  <si>
    <t xml:space="preserve">Yes</t>
  </si>
  <si>
    <t xml:space="preserve">Revolving credit facility</t>
  </si>
  <si>
    <t xml:space="preserve">Equipment leases</t>
  </si>
  <si>
    <t xml:space="preserve">Lease</t>
  </si>
  <si>
    <t xml:space="preserve">Cash-pool tranche - Northwind Holding Sp. z o.o.</t>
  </si>
  <si>
    <t xml:space="preserve">Intercompany cash tranche</t>
  </si>
  <si>
    <t xml:space="preserve">No</t>
  </si>
  <si>
    <t xml:space="preserve">Total per consolidated financing report</t>
  </si>
  <si>
    <t xml:space="preserve">Less: intercompany cash tranche (non-borrowing)</t>
  </si>
  <si>
    <t xml:space="preserve">Adjusted financial debt</t>
  </si>
  <si>
    <t xml:space="preserve">Net financial debt (adjusted)</t>
  </si>
  <si>
    <t xml:space="preserve">Adjusted leverage (x)</t>
  </si>
  <si>
    <t xml:space="preserve">Note: the cash-pool tranche is a balance placed by a sister company under the group cash-pooling agreement. It is repayable on demand, non-interest-bearing and cleared month-end. It is not borrowed money.</t>
  </si>
  <si>
    <t xml:space="preserve">Non-performing exposure reconciliation</t>
  </si>
  <si>
    <t xml:space="preserve">Comment</t>
  </si>
  <si>
    <t xml:space="preserve">Non-performing exposure per financing report</t>
  </si>
  <si>
    <t xml:space="preserve">Credit registry extract, past due &gt; 90 days</t>
  </si>
  <si>
    <t xml:space="preserve">Of which: cash-pool clearing timing difference</t>
  </si>
  <si>
    <t xml:space="preserve">Settled 3 July 2026, bank ref. NWL-CP-0703</t>
  </si>
  <si>
    <t xml:space="preserve">Adjusted non-performing exposure</t>
  </si>
  <si>
    <t xml:space="preserve">Adjusted financial debt base</t>
  </si>
  <si>
    <t xml:space="preserve">Adjusted NPL ratio (%)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</si>
</sst>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;\(#,##0.0\);\-"/>
    <numFmt numFmtId="166" formatCode="0.0"/>
    <numFmt numFmtId="167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213D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B6478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EEF1F8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1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2" t="s">
        <v>3</v>
      </c>
    </row>
    <row r="6" customFormat="false" ht="15" hidden="false" customHeight="false" outlineLevel="0" collapsed="false">
      <c r="A6" s="4" t="s">
        <v>4</v>
      </c>
      <c r="B6" s="5" t="s">
        <v>5</v>
      </c>
      <c r="C6" s="5" t="s">
        <v>6</v>
      </c>
    </row>
    <row r="7" customFormat="false" ht="15" hidden="false" customHeight="false" outlineLevel="0" collapsed="false">
      <c r="A7" s="2" t="s">
        <v>7</v>
      </c>
      <c r="B7" s="6" t="n">
        <v>128</v>
      </c>
      <c r="C7" s="2" t="s">
        <v>8</v>
      </c>
    </row>
    <row r="8" customFormat="false" ht="15" hidden="false" customHeight="false" outlineLevel="0" collapsed="false">
      <c r="A8" s="2" t="s">
        <v>9</v>
      </c>
      <c r="B8" s="6" t="n">
        <v>11.5</v>
      </c>
      <c r="C8" s="2" t="s">
        <v>10</v>
      </c>
    </row>
    <row r="9" customFormat="false" ht="15" hidden="false" customHeight="false" outlineLevel="0" collapsed="false">
      <c r="A9" s="2" t="s">
        <v>11</v>
      </c>
      <c r="B9" s="6" t="n">
        <v>6.2</v>
      </c>
      <c r="C9" s="2" t="s">
        <v>12</v>
      </c>
    </row>
    <row r="10" customFormat="false" ht="15" hidden="false" customHeight="false" outlineLevel="0" collapsed="false">
      <c r="A10" s="2" t="s">
        <v>13</v>
      </c>
      <c r="B10" s="7" t="n">
        <f aca="false">B8/B7*100</f>
        <v>8.984375</v>
      </c>
      <c r="C10" s="2" t="s">
        <v>14</v>
      </c>
    </row>
    <row r="12" customFormat="false" ht="15" hidden="false" customHeight="false" outlineLevel="0" collapsed="false">
      <c r="A12" s="8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8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4" customFormat="false" ht="15" hidden="false" customHeight="false" outlineLevel="0" collapsed="false">
      <c r="A4" s="4" t="s">
        <v>18</v>
      </c>
      <c r="B4" s="5" t="s">
        <v>19</v>
      </c>
      <c r="C4" s="5" t="s">
        <v>20</v>
      </c>
      <c r="D4" s="5" t="s">
        <v>21</v>
      </c>
    </row>
    <row r="5" customFormat="false" ht="15" hidden="false" customHeight="false" outlineLevel="0" collapsed="false">
      <c r="A5" s="2" t="s">
        <v>22</v>
      </c>
      <c r="B5" s="2" t="s">
        <v>23</v>
      </c>
      <c r="C5" s="6" t="n">
        <v>24</v>
      </c>
      <c r="D5" s="2" t="s">
        <v>24</v>
      </c>
    </row>
    <row r="6" customFormat="false" ht="15" hidden="false" customHeight="false" outlineLevel="0" collapsed="false">
      <c r="A6" s="2" t="s">
        <v>25</v>
      </c>
      <c r="B6" s="2" t="s">
        <v>23</v>
      </c>
      <c r="C6" s="6" t="n">
        <v>6</v>
      </c>
      <c r="D6" s="2" t="s">
        <v>24</v>
      </c>
    </row>
    <row r="7" customFormat="false" ht="15" hidden="false" customHeight="false" outlineLevel="0" collapsed="false">
      <c r="A7" s="2" t="s">
        <v>26</v>
      </c>
      <c r="B7" s="2" t="s">
        <v>27</v>
      </c>
      <c r="C7" s="6" t="n">
        <v>4</v>
      </c>
      <c r="D7" s="2" t="s">
        <v>24</v>
      </c>
    </row>
    <row r="8" customFormat="false" ht="15" hidden="false" customHeight="false" outlineLevel="0" collapsed="false">
      <c r="A8" s="2" t="s">
        <v>28</v>
      </c>
      <c r="B8" s="2" t="s">
        <v>29</v>
      </c>
      <c r="C8" s="6" t="n">
        <v>48</v>
      </c>
      <c r="D8" s="2" t="s">
        <v>30</v>
      </c>
    </row>
    <row r="9" customFormat="false" ht="15" hidden="false" customHeight="false" outlineLevel="0" collapsed="false">
      <c r="A9" s="9" t="s">
        <v>31</v>
      </c>
      <c r="B9" s="10"/>
      <c r="C9" s="11" t="n">
        <f aca="false">SUM(C5:C8)</f>
        <v>82</v>
      </c>
      <c r="D9" s="10"/>
    </row>
    <row r="10" customFormat="false" ht="15" hidden="false" customHeight="false" outlineLevel="0" collapsed="false">
      <c r="A10" s="2" t="s">
        <v>32</v>
      </c>
      <c r="C10" s="12" t="n">
        <f aca="false">-C8</f>
        <v>-48</v>
      </c>
    </row>
    <row r="11" customFormat="false" ht="15" hidden="false" customHeight="false" outlineLevel="0" collapsed="false">
      <c r="A11" s="9" t="s">
        <v>33</v>
      </c>
      <c r="B11" s="10"/>
      <c r="C11" s="11" t="n">
        <f aca="false">C9+C10</f>
        <v>34</v>
      </c>
      <c r="D11" s="10"/>
    </row>
    <row r="12" customFormat="false" ht="15" hidden="false" customHeight="false" outlineLevel="0" collapsed="false">
      <c r="A12" s="2" t="s">
        <v>11</v>
      </c>
      <c r="C12" s="13" t="n">
        <f aca="false">Summary!B9</f>
        <v>6.2</v>
      </c>
    </row>
    <row r="13" customFormat="false" ht="15" hidden="false" customHeight="false" outlineLevel="0" collapsed="false">
      <c r="A13" s="9" t="s">
        <v>34</v>
      </c>
      <c r="B13" s="10"/>
      <c r="C13" s="11" t="n">
        <f aca="false">C11-C12</f>
        <v>27.8</v>
      </c>
      <c r="D13" s="10"/>
    </row>
    <row r="14" customFormat="false" ht="15" hidden="false" customHeight="false" outlineLevel="0" collapsed="false">
      <c r="A14" s="9" t="s">
        <v>35</v>
      </c>
      <c r="B14" s="10"/>
      <c r="C14" s="14" t="n">
        <f aca="false">C11/Summary!B8</f>
        <v>2.95652173913043</v>
      </c>
      <c r="D14" s="10"/>
    </row>
    <row r="16" customFormat="false" ht="15" hidden="false" customHeight="true" outlineLevel="0" collapsed="false">
      <c r="A16" s="15" t="s">
        <v>36</v>
      </c>
      <c r="B16" s="15"/>
      <c r="C16" s="15"/>
      <c r="D16" s="15"/>
    </row>
    <row r="17" customFormat="false" ht="15" hidden="false" customHeight="false" outlineLevel="0" collapsed="false">
      <c r="A17" s="15"/>
      <c r="B17" s="15"/>
      <c r="C17" s="15"/>
      <c r="D17" s="15"/>
    </row>
  </sheetData>
  <mergeCells count="1">
    <mergeCell ref="A16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48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17</v>
      </c>
    </row>
    <row r="4" customFormat="false" ht="15" hidden="false" customHeight="false" outlineLevel="0" collapsed="false">
      <c r="A4" s="4" t="s">
        <v>18</v>
      </c>
      <c r="B4" s="5" t="s">
        <v>20</v>
      </c>
      <c r="C4" s="5" t="s">
        <v>38</v>
      </c>
    </row>
    <row r="5" customFormat="false" ht="15" hidden="false" customHeight="false" outlineLevel="0" collapsed="false">
      <c r="A5" s="2" t="s">
        <v>39</v>
      </c>
      <c r="B5" s="6" t="n">
        <v>5.6</v>
      </c>
      <c r="C5" s="2" t="s">
        <v>40</v>
      </c>
    </row>
    <row r="6" customFormat="false" ht="15" hidden="false" customHeight="false" outlineLevel="0" collapsed="false">
      <c r="A6" s="2" t="s">
        <v>41</v>
      </c>
      <c r="B6" s="6" t="n">
        <v>4.9</v>
      </c>
      <c r="C6" s="2" t="s">
        <v>42</v>
      </c>
    </row>
    <row r="7" customFormat="false" ht="15" hidden="false" customHeight="false" outlineLevel="0" collapsed="false">
      <c r="A7" s="9" t="s">
        <v>43</v>
      </c>
      <c r="B7" s="11" t="n">
        <f aca="false">B5-B6</f>
        <v>0.699999999999999</v>
      </c>
      <c r="C7" s="16"/>
    </row>
    <row r="8" customFormat="false" ht="15" hidden="false" customHeight="false" outlineLevel="0" collapsed="false">
      <c r="A8" s="2" t="s">
        <v>44</v>
      </c>
      <c r="B8" s="13" t="n">
        <f aca="false">'Debt &amp; Liquidity'!C11</f>
        <v>34</v>
      </c>
      <c r="C8" s="2"/>
    </row>
    <row r="9" customFormat="false" ht="15" hidden="false" customHeight="false" outlineLevel="0" collapsed="false">
      <c r="A9" s="9" t="s">
        <v>45</v>
      </c>
      <c r="B9" s="17" t="n">
        <f aca="false">B7/B8*100</f>
        <v>2.05882352941176</v>
      </c>
      <c r="C9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2026-10-18T05:31:24Z</dcterms:created>
  <dc:creator>openpyxl</dc:creator>
  <dc:description/>
  <dc:language>en-US</dc:language>
  <cp:lastModifiedBy/>
  <dcterms:modified xsi:type="dcterms:W3CDTF">2026-10-18T05:31:24Z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